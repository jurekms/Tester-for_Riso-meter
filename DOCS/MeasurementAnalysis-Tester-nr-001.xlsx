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<sst xmlns="http://schemas.openxmlformats.org/spreadsheetml/2006/main" count="52" uniqueCount="39">
  <si>
    <t xml:space="preserve">Tester Riso – pomiar rezystorów multimetrem Fluke 8 ½ cyfry</t>
  </si>
  <si>
    <r>
      <rPr>
        <b val="true"/>
        <sz val="14"/>
        <rFont val="Arial"/>
        <family val="2"/>
        <charset val="238"/>
      </rPr>
      <t xml:space="preserve">100 M</t>
    </r>
    <r>
      <rPr>
        <b val="true"/>
        <sz val="14"/>
        <rFont val="Times New Roman"/>
        <family val="1"/>
        <charset val="1"/>
      </rPr>
      <t xml:space="preserve">Ω</t>
    </r>
  </si>
  <si>
    <r>
      <rPr>
        <b val="true"/>
        <sz val="14"/>
        <rFont val="Arial"/>
        <family val="2"/>
        <charset val="238"/>
      </rPr>
      <t xml:space="preserve">200 M</t>
    </r>
    <r>
      <rPr>
        <b val="true"/>
        <sz val="14"/>
        <rFont val="Times New Roman"/>
        <family val="1"/>
        <charset val="1"/>
      </rPr>
      <t xml:space="preserve">Ω</t>
    </r>
  </si>
  <si>
    <r>
      <rPr>
        <b val="true"/>
        <sz val="14"/>
        <rFont val="Arial"/>
        <family val="2"/>
        <charset val="238"/>
      </rPr>
      <t xml:space="preserve">1 G</t>
    </r>
    <r>
      <rPr>
        <b val="true"/>
        <sz val="14"/>
        <rFont val="Times New Roman"/>
        <family val="1"/>
        <charset val="1"/>
      </rPr>
      <t xml:space="preserve">Ω</t>
    </r>
  </si>
  <si>
    <t xml:space="preserve">UWAGI</t>
  </si>
  <si>
    <t xml:space="preserve">pomiary</t>
  </si>
  <si>
    <t xml:space="preserve">NIE ZMIENIAĆ
Analiza rezystorów wzorcowych</t>
  </si>
  <si>
    <t xml:space="preserve">średnia</t>
  </si>
  <si>
    <t xml:space="preserve">odchylenie standardowe</t>
  </si>
  <si>
    <t xml:space="preserve">niepewność odchylenia standardowego</t>
  </si>
  <si>
    <t xml:space="preserve">niepewność niepewność multimetru Fluke</t>
  </si>
  <si>
    <t xml:space="preserve">rozdzielczość</t>
  </si>
  <si>
    <t xml:space="preserve">niepewność rozdzielczości</t>
  </si>
  <si>
    <t xml:space="preserve">niepewność zwykła pomiaru</t>
  </si>
  <si>
    <t xml:space="preserve">niepewność rozszerzona pomiaru k=2</t>
  </si>
  <si>
    <t xml:space="preserve">zmierzona wartość rezystancji</t>
  </si>
  <si>
    <t xml:space="preserve">Sprawdzenie miernika
SONEL MIC-2501
Upom=1000V</t>
  </si>
  <si>
    <r>
      <rPr>
        <b val="true"/>
        <sz val="20"/>
        <rFont val="Arial"/>
        <family val="2"/>
        <charset val="238"/>
      </rPr>
      <t xml:space="preserve">100 M</t>
    </r>
    <r>
      <rPr>
        <b val="true"/>
        <sz val="20"/>
        <rFont val="Times New Roman"/>
        <family val="1"/>
        <charset val="1"/>
      </rPr>
      <t xml:space="preserve">Ω</t>
    </r>
  </si>
  <si>
    <r>
      <rPr>
        <b val="true"/>
        <sz val="20"/>
        <rFont val="Arial"/>
        <family val="2"/>
        <charset val="238"/>
      </rPr>
      <t xml:space="preserve">200 M</t>
    </r>
    <r>
      <rPr>
        <b val="true"/>
        <sz val="20"/>
        <rFont val="Times New Roman"/>
        <family val="1"/>
        <charset val="1"/>
      </rPr>
      <t xml:space="preserve">Ω</t>
    </r>
  </si>
  <si>
    <r>
      <rPr>
        <b val="true"/>
        <sz val="20"/>
        <rFont val="Arial"/>
        <family val="2"/>
        <charset val="238"/>
      </rPr>
      <t xml:space="preserve">1 G</t>
    </r>
    <r>
      <rPr>
        <b val="true"/>
        <sz val="20"/>
        <rFont val="Times New Roman"/>
        <family val="1"/>
        <charset val="1"/>
      </rPr>
      <t xml:space="preserve">Ω</t>
    </r>
  </si>
  <si>
    <t xml:space="preserve">NIE ZMIENIAĆ !!!
(dane z tabeli powyżej)</t>
  </si>
  <si>
    <t xml:space="preserve">Rwzorca</t>
  </si>
  <si>
    <t xml:space="preserve">niepewność zwykła wzorca</t>
  </si>
  <si>
    <t xml:space="preserve">OBLICZENIA</t>
  </si>
  <si>
    <t xml:space="preserve">odchyłka wskazania </t>
  </si>
  <si>
    <t xml:space="preserve">  odchyłka wskazania   %</t>
  </si>
  <si>
    <t xml:space="preserve">max dopuszczalny błąd miernika według dokumentacji producenta</t>
  </si>
  <si>
    <t xml:space="preserve">Ocena :odchyłka wskazania + niepewność rozszerzona pomiaru &lt;= max błędu miernika</t>
  </si>
  <si>
    <t xml:space="preserve">-max. błąd miernika należy odczytać z dokumentacji i odnieść go do wartości średniej z pomiarów
-wszystkie wartości bez podanej jednostki wyrażone w MΩ
</t>
  </si>
  <si>
    <t xml:space="preserve">% wartości zmierzonej</t>
  </si>
  <si>
    <t xml:space="preserve">ilość cyfr</t>
  </si>
  <si>
    <t xml:space="preserve">wartość stała</t>
  </si>
  <si>
    <t xml:space="preserve">rozdzielczość miernika</t>
  </si>
  <si>
    <t xml:space="preserve">max dopuszczalny błąd miernika i rozdzielczość według dokumentacji producenta</t>
  </si>
  <si>
    <r>
      <rPr>
        <b val="true"/>
        <sz val="13"/>
        <rFont val="Arial"/>
        <family val="2"/>
        <charset val="238"/>
      </rPr>
      <t xml:space="preserve">dla punktu 100 M</t>
    </r>
    <r>
      <rPr>
        <b val="true"/>
        <sz val="13"/>
        <rFont val="Times New Roman"/>
        <family val="1"/>
        <charset val="238"/>
      </rPr>
      <t xml:space="preserve">Ω</t>
    </r>
  </si>
  <si>
    <r>
      <rPr>
        <b val="true"/>
        <sz val="13"/>
        <rFont val="Arial"/>
        <family val="2"/>
        <charset val="238"/>
      </rPr>
      <t xml:space="preserve">dla punktu 200 M</t>
    </r>
    <r>
      <rPr>
        <b val="true"/>
        <sz val="13"/>
        <rFont val="Times New Roman"/>
        <family val="1"/>
        <charset val="238"/>
      </rPr>
      <t xml:space="preserve">Ω</t>
    </r>
  </si>
  <si>
    <r>
      <rPr>
        <b val="true"/>
        <sz val="13"/>
        <rFont val="Arial"/>
        <family val="2"/>
        <charset val="238"/>
      </rPr>
      <t xml:space="preserve">dla punktu 1 G</t>
    </r>
    <r>
      <rPr>
        <b val="true"/>
        <sz val="13"/>
        <rFont val="Times New Roman"/>
        <family val="1"/>
        <charset val="238"/>
      </rPr>
      <t xml:space="preserve">Ω</t>
    </r>
  </si>
  <si>
    <t xml:space="preserve">POMIARY</t>
  </si>
  <si>
    <t xml:space="preserve">UWAGA 
Jeśli zmieniono ilość pomiarów uwzględnić należy to w pozycji średnia i odchylenie standardowe. Należy również zmienić mianownik w pozycji niepewność odchylenia standardowego zmieniając liczbę pod pierwiastkiem na faktyczną ilość pomiarów obecnie 6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</si>
</sst>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"/>
    <numFmt numFmtId="166" formatCode="General"/>
    <numFmt numFmtId="167" formatCode="0.0000"/>
    <numFmt numFmtId="168" formatCode="0.000000"/>
    <numFmt numFmtId="169" formatCode="0.000E+00"/>
    <numFmt numFmtId="170" formatCode="0.0"/>
    <numFmt numFmtId="171" formatCode="0.00"/>
    <numFmt numFmtId="172" formatCode="0.00%"/>
    <numFmt numFmtId="173" formatCode="0"/>
  </numFmts>
  <fonts count="20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6"/>
      <color rgb="FFC9211E"/>
      <name val="Arial"/>
      <family val="2"/>
      <charset val="238"/>
    </font>
    <font>
      <b val="true"/>
      <sz val="14"/>
      <name val="Arial"/>
      <family val="2"/>
      <charset val="238"/>
    </font>
    <font>
      <b val="true"/>
      <sz val="14"/>
      <name val="Times New Roman"/>
      <family val="1"/>
      <charset val="1"/>
    </font>
    <font>
      <sz val="12"/>
      <name val="Arial"/>
      <family val="2"/>
      <charset val="238"/>
    </font>
    <font>
      <b val="true"/>
      <sz val="12"/>
      <name val="Arial"/>
      <family val="2"/>
      <charset val="238"/>
    </font>
    <font>
      <sz val="10"/>
      <name val="Arial CE"/>
      <family val="2"/>
      <charset val="1"/>
    </font>
    <font>
      <b val="true"/>
      <sz val="20"/>
      <color rgb="FFC9211E"/>
      <name val="Arial"/>
      <family val="2"/>
      <charset val="238"/>
    </font>
    <font>
      <b val="true"/>
      <sz val="20"/>
      <name val="Arial"/>
      <family val="2"/>
      <charset val="238"/>
    </font>
    <font>
      <b val="true"/>
      <sz val="20"/>
      <name val="Times New Roman"/>
      <family val="1"/>
      <charset val="1"/>
    </font>
    <font>
      <sz val="20"/>
      <name val="Arial"/>
      <family val="2"/>
      <charset val="238"/>
    </font>
    <font>
      <b val="true"/>
      <sz val="12"/>
      <color rgb="FFC9211E"/>
      <name val="Arial"/>
      <family val="2"/>
      <charset val="238"/>
    </font>
    <font>
      <sz val="11"/>
      <name val="Arial"/>
      <family val="2"/>
      <charset val="238"/>
    </font>
    <font>
      <sz val="12"/>
      <name val="Arial CE"/>
      <family val="2"/>
      <charset val="1"/>
    </font>
    <font>
      <b val="true"/>
      <sz val="13"/>
      <name val="Arial"/>
      <family val="2"/>
      <charset val="238"/>
    </font>
    <font>
      <sz val="12"/>
      <name val="Arial CE"/>
      <family val="2"/>
      <charset val="238"/>
    </font>
    <font>
      <b val="true"/>
      <sz val="13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3" fontId="1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2.7"/>
    <col collapsed="false" customWidth="true" hidden="false" outlineLevel="0" max="2" min="2" style="1" width="34.2"/>
    <col collapsed="false" customWidth="true" hidden="false" outlineLevel="0" max="3" min="3" style="1" width="37.56"/>
    <col collapsed="false" customWidth="true" hidden="false" outlineLevel="0" max="4" min="4" style="1" width="36.3"/>
    <col collapsed="false" customWidth="true" hidden="false" outlineLevel="0" max="5" min="5" style="1" width="53.28"/>
    <col collapsed="false" customWidth="true" hidden="false" outlineLevel="0" max="6" min="6" style="1" width="29.49"/>
  </cols>
  <sheetData>
    <row r="1" customFormat="false" ht="79.8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4"/>
      <c r="B2" s="5"/>
      <c r="C2" s="5"/>
      <c r="D2" s="5"/>
      <c r="E2" s="4"/>
    </row>
    <row r="3" customFormat="false" ht="12.8" hidden="false" customHeight="true" outlineLevel="0" collapsed="false">
      <c r="A3" s="6" t="s">
        <v>5</v>
      </c>
      <c r="B3" s="7" t="n">
        <v>99.456</v>
      </c>
      <c r="C3" s="7" t="n">
        <v>198.036</v>
      </c>
      <c r="D3" s="5" t="n">
        <v>999.466</v>
      </c>
      <c r="E3" s="8" t="s">
        <v>6</v>
      </c>
    </row>
    <row r="4" customFormat="false" ht="12.8" hidden="false" customHeight="false" outlineLevel="0" collapsed="false">
      <c r="A4" s="9"/>
      <c r="B4" s="7" t="n">
        <v>99.42</v>
      </c>
      <c r="C4" s="7" t="n">
        <v>197.972</v>
      </c>
      <c r="D4" s="5" t="n">
        <v>999.452</v>
      </c>
      <c r="E4" s="8"/>
    </row>
    <row r="5" customFormat="false" ht="12.8" hidden="false" customHeight="false" outlineLevel="0" collapsed="false">
      <c r="A5" s="9"/>
      <c r="B5" s="7" t="n">
        <v>99.45</v>
      </c>
      <c r="C5" s="7" t="n">
        <v>197.996</v>
      </c>
      <c r="D5" s="5" t="n">
        <v>999.475</v>
      </c>
      <c r="E5" s="8"/>
    </row>
    <row r="6" customFormat="false" ht="12.8" hidden="false" customHeight="false" outlineLevel="0" collapsed="false">
      <c r="A6" s="9"/>
      <c r="B6" s="7" t="n">
        <v>99.474</v>
      </c>
      <c r="C6" s="7" t="n">
        <v>197.988</v>
      </c>
      <c r="D6" s="5" t="n">
        <v>999.403</v>
      </c>
      <c r="E6" s="8"/>
    </row>
    <row r="7" customFormat="false" ht="12.8" hidden="false" customHeight="false" outlineLevel="0" collapsed="false">
      <c r="A7" s="9"/>
      <c r="B7" s="7" t="n">
        <v>99.449</v>
      </c>
      <c r="C7" s="7" t="n">
        <v>197.972</v>
      </c>
      <c r="D7" s="5" t="n">
        <v>999.515</v>
      </c>
      <c r="E7" s="8"/>
    </row>
    <row r="8" customFormat="false" ht="12.8" hidden="false" customHeight="false" outlineLevel="0" collapsed="false">
      <c r="A8" s="9"/>
      <c r="B8" s="7" t="n">
        <v>99.475</v>
      </c>
      <c r="C8" s="7" t="n">
        <v>197.996</v>
      </c>
      <c r="D8" s="5" t="n">
        <v>999.514</v>
      </c>
      <c r="E8" s="8"/>
    </row>
    <row r="9" customFormat="false" ht="15" hidden="false" customHeight="false" outlineLevel="0" collapsed="false">
      <c r="A9" s="6" t="s">
        <v>7</v>
      </c>
      <c r="B9" s="10" t="n">
        <f aca="false">AVERAGE(B3:B8)</f>
        <v>99.454</v>
      </c>
      <c r="C9" s="11" t="n">
        <f aca="false">AVERAGE(C3:C8)</f>
        <v>197.993333333333</v>
      </c>
      <c r="D9" s="11" t="n">
        <f aca="false">AVERAGE(D3:D8)</f>
        <v>999.470833333333</v>
      </c>
      <c r="E9" s="8"/>
    </row>
    <row r="10" customFormat="false" ht="12.8" hidden="false" customHeight="false" outlineLevel="0" collapsed="false">
      <c r="A10" s="6" t="s">
        <v>8</v>
      </c>
      <c r="B10" s="12" t="n">
        <f aca="false">STDEV(B3:B8)</f>
        <v>0.0202089089265096</v>
      </c>
      <c r="C10" s="12" t="n">
        <f aca="false">STDEV(C3:C8)</f>
        <v>0.0235513623102055</v>
      </c>
      <c r="D10" s="12" t="n">
        <f aca="false">STDEV(D3:D8)</f>
        <v>0.0419781689294101</v>
      </c>
      <c r="E10" s="8"/>
    </row>
    <row r="11" customFormat="false" ht="12.8" hidden="false" customHeight="false" outlineLevel="0" collapsed="false">
      <c r="A11" s="6" t="s">
        <v>9</v>
      </c>
      <c r="B11" s="12" t="n">
        <f aca="false">B10/SQRT(6)</f>
        <v>0.00825025252138746</v>
      </c>
      <c r="C11" s="12" t="n">
        <f aca="false">C10/SQRT(6)</f>
        <v>0.00961480340123644</v>
      </c>
      <c r="D11" s="12" t="n">
        <f aca="false">D10/SQRT(6)</f>
        <v>0.0171375157022349</v>
      </c>
      <c r="E11" s="8"/>
    </row>
    <row r="12" customFormat="false" ht="12.8" hidden="false" customHeight="false" outlineLevel="0" collapsed="false">
      <c r="A12" s="6"/>
      <c r="B12" s="12"/>
      <c r="C12" s="12"/>
      <c r="D12" s="12"/>
      <c r="E12" s="8"/>
    </row>
    <row r="13" customFormat="false" ht="12.8" hidden="false" customHeight="false" outlineLevel="0" collapsed="false">
      <c r="A13" s="13" t="s">
        <v>10</v>
      </c>
      <c r="B13" s="5" t="n">
        <f aca="false">0.0024/2</f>
        <v>0.0012</v>
      </c>
      <c r="C13" s="5" t="n">
        <f aca="false">0.0024/2</f>
        <v>0.0012</v>
      </c>
      <c r="D13" s="14" t="n">
        <f aca="false">0.00003/2</f>
        <v>1.5E-005</v>
      </c>
      <c r="E13" s="8"/>
    </row>
    <row r="14" customFormat="false" ht="12.8" hidden="false" customHeight="false" outlineLevel="0" collapsed="false">
      <c r="A14" s="9"/>
      <c r="B14" s="5"/>
      <c r="C14" s="5"/>
      <c r="D14" s="5"/>
      <c r="E14" s="8"/>
    </row>
    <row r="15" customFormat="false" ht="12.8" hidden="false" customHeight="false" outlineLevel="0" collapsed="false">
      <c r="A15" s="6" t="s">
        <v>11</v>
      </c>
      <c r="B15" s="5" t="n">
        <v>1E-005</v>
      </c>
      <c r="C15" s="5" t="n">
        <v>1E-005</v>
      </c>
      <c r="D15" s="5" t="n">
        <v>1E-005</v>
      </c>
      <c r="E15" s="8"/>
    </row>
    <row r="16" customFormat="false" ht="12.8" hidden="false" customHeight="false" outlineLevel="0" collapsed="false">
      <c r="A16" s="6" t="s">
        <v>12</v>
      </c>
      <c r="B16" s="15" t="n">
        <f aca="false">B15/SQRT(12)</f>
        <v>2.88675134594813E-006</v>
      </c>
      <c r="C16" s="15" t="n">
        <f aca="false">C15/SQRT(12)</f>
        <v>2.88675134594813E-006</v>
      </c>
      <c r="D16" s="15" t="n">
        <f aca="false">D15/SQRT(12)</f>
        <v>2.88675134594813E-006</v>
      </c>
      <c r="E16" s="8"/>
    </row>
    <row r="17" customFormat="false" ht="12.8" hidden="false" customHeight="false" outlineLevel="0" collapsed="false">
      <c r="A17" s="9"/>
      <c r="B17" s="5"/>
      <c r="C17" s="5"/>
      <c r="D17" s="5"/>
      <c r="E17" s="8"/>
    </row>
    <row r="18" customFormat="false" ht="12.8" hidden="false" customHeight="false" outlineLevel="0" collapsed="false">
      <c r="A18" s="6" t="s">
        <v>13</v>
      </c>
      <c r="B18" s="7" t="n">
        <f aca="false">SQRT(B11^2+B13^2+B16^2)</f>
        <v>0.00833706633055018</v>
      </c>
      <c r="C18" s="7" t="n">
        <f aca="false">SQRT(C11^2+C13^2+C16^2)</f>
        <v>0.00968939898950194</v>
      </c>
      <c r="D18" s="7" t="n">
        <f aca="false">SQRT(D11^2+D13^2+D16^2)</f>
        <v>0.0171375225099103</v>
      </c>
      <c r="E18" s="8"/>
    </row>
    <row r="19" customFormat="false" ht="12.8" hidden="false" customHeight="false" outlineLevel="0" collapsed="false">
      <c r="A19" s="6" t="s">
        <v>14</v>
      </c>
      <c r="B19" s="7" t="n">
        <f aca="false">B18*2</f>
        <v>0.0166741326611004</v>
      </c>
      <c r="C19" s="7" t="n">
        <f aca="false">C18*2</f>
        <v>0.0193787979790039</v>
      </c>
      <c r="D19" s="7" t="n">
        <f aca="false">D18*2</f>
        <v>0.0342750450198205</v>
      </c>
      <c r="E19" s="8"/>
    </row>
    <row r="20" customFormat="false" ht="12.8" hidden="false" customHeight="false" outlineLevel="0" collapsed="false">
      <c r="A20" s="9"/>
      <c r="B20" s="5"/>
      <c r="C20" s="5"/>
      <c r="D20" s="5"/>
      <c r="E20" s="8"/>
    </row>
    <row r="21" customFormat="false" ht="17.35" hidden="false" customHeight="false" outlineLevel="0" collapsed="false">
      <c r="A21" s="6" t="s">
        <v>15</v>
      </c>
      <c r="B21" s="16" t="str">
        <f aca="false">"( " &amp; TEXT(B9,"0,000") &amp; "  ± " &amp; TEXT(B19,"0,000") &amp; " )"  &amp; " MΩ"</f>
        <v>( 99,454  ± 0,017 ) MΩ</v>
      </c>
      <c r="C21" s="16" t="str">
        <f aca="false">"( " &amp; TEXT(C9,"0,000") &amp; "  ± " &amp; TEXT(C19,"0,000") &amp; " )"  &amp; " MΩ"</f>
        <v>( 197,993  ± 0,019 ) MΩ</v>
      </c>
      <c r="D21" s="16" t="str">
        <f aca="false">"( " &amp; TEXT(D9,"0,000") &amp; "  ± " &amp; TEXT(D19,"0,000") &amp; " )"  &amp; " MΩ"</f>
        <v>( 999,471  ± 0,034 ) MΩ</v>
      </c>
      <c r="E21" s="8"/>
    </row>
    <row r="22" customFormat="false" ht="12.8" hidden="false" customHeight="false" outlineLevel="0" collapsed="false">
      <c r="B22" s="17"/>
      <c r="C22" s="17"/>
      <c r="D22" s="17"/>
    </row>
    <row r="26" customFormat="false" ht="90.25" hidden="false" customHeight="true" outlineLevel="0" collapsed="false">
      <c r="A26" s="18" t="s">
        <v>16</v>
      </c>
      <c r="B26" s="19" t="s">
        <v>17</v>
      </c>
      <c r="C26" s="19" t="s">
        <v>18</v>
      </c>
      <c r="D26" s="19" t="s">
        <v>19</v>
      </c>
      <c r="E26" s="19" t="s">
        <v>4</v>
      </c>
      <c r="F26" s="19"/>
    </row>
    <row r="27" customFormat="false" ht="12.8" hidden="false" customHeight="true" outlineLevel="0" collapsed="false">
      <c r="A27" s="4"/>
      <c r="B27" s="5"/>
      <c r="C27" s="5"/>
      <c r="D27" s="5"/>
      <c r="E27" s="20" t="s">
        <v>20</v>
      </c>
      <c r="F27" s="20"/>
    </row>
    <row r="28" customFormat="false" ht="12.8" hidden="false" customHeight="false" outlineLevel="0" collapsed="false">
      <c r="A28" s="6" t="s">
        <v>21</v>
      </c>
      <c r="B28" s="5" t="n">
        <f aca="false">B9</f>
        <v>99.454</v>
      </c>
      <c r="C28" s="7" t="n">
        <f aca="false">C9</f>
        <v>197.993333333333</v>
      </c>
      <c r="D28" s="7" t="n">
        <f aca="false">D9</f>
        <v>999.470833333333</v>
      </c>
      <c r="E28" s="20"/>
      <c r="F28" s="20"/>
    </row>
    <row r="29" customFormat="false" ht="12.8" hidden="false" customHeight="false" outlineLevel="0" collapsed="false">
      <c r="A29" s="6" t="s">
        <v>22</v>
      </c>
      <c r="B29" s="7" t="n">
        <f aca="false">B18</f>
        <v>0.00833706633055018</v>
      </c>
      <c r="C29" s="7" t="n">
        <f aca="false">C18</f>
        <v>0.00968939898950194</v>
      </c>
      <c r="D29" s="7" t="n">
        <f aca="false">D18</f>
        <v>0.0171375225099103</v>
      </c>
      <c r="E29" s="20"/>
      <c r="F29" s="20"/>
    </row>
    <row r="30" customFormat="false" ht="12.8" hidden="false" customHeight="false" outlineLevel="0" collapsed="false">
      <c r="A30" s="9"/>
      <c r="B30" s="5"/>
      <c r="C30" s="5"/>
      <c r="D30" s="5"/>
      <c r="E30" s="20"/>
      <c r="F30" s="20"/>
    </row>
    <row r="31" customFormat="false" ht="15" hidden="false" customHeight="false" outlineLevel="0" collapsed="false">
      <c r="A31" s="6" t="s">
        <v>7</v>
      </c>
      <c r="B31" s="10" t="n">
        <f aca="false">AVERAGE(B66:B71)</f>
        <v>98.385</v>
      </c>
      <c r="C31" s="10" t="n">
        <f aca="false">AVERAGE(C66:C71)</f>
        <v>196.25</v>
      </c>
      <c r="D31" s="21" t="n">
        <f aca="false">AVERAGE(D66:D71)</f>
        <v>986.183333333333</v>
      </c>
      <c r="E31" s="22" t="s">
        <v>23</v>
      </c>
      <c r="F31" s="22"/>
    </row>
    <row r="32" customFormat="false" ht="12.8" hidden="false" customHeight="false" outlineLevel="0" collapsed="false">
      <c r="A32" s="13" t="s">
        <v>24</v>
      </c>
      <c r="B32" s="7" t="n">
        <f aca="false">B28-B31</f>
        <v>1.069</v>
      </c>
      <c r="C32" s="7" t="n">
        <f aca="false">C28-C31</f>
        <v>1.743333333333</v>
      </c>
      <c r="D32" s="7" t="n">
        <f aca="false">D28-D31</f>
        <v>13.2874999999996</v>
      </c>
      <c r="E32" s="22"/>
      <c r="F32" s="22"/>
    </row>
    <row r="33" customFormat="false" ht="15" hidden="false" customHeight="false" outlineLevel="0" collapsed="false">
      <c r="A33" s="13" t="s">
        <v>25</v>
      </c>
      <c r="B33" s="23" t="n">
        <f aca="false">B32/B31</f>
        <v>0.0108654774609951</v>
      </c>
      <c r="C33" s="23" t="n">
        <f aca="false">C32/C31</f>
        <v>0.0088832271762191</v>
      </c>
      <c r="D33" s="23" t="n">
        <f aca="false">D32/D31</f>
        <v>0.0134736610839765</v>
      </c>
      <c r="E33" s="22"/>
      <c r="F33" s="22"/>
    </row>
    <row r="34" customFormat="false" ht="12.8" hidden="false" customHeight="false" outlineLevel="0" collapsed="false">
      <c r="A34" s="6" t="s">
        <v>8</v>
      </c>
      <c r="B34" s="12" t="n">
        <f aca="false">STDEV(B66:B71)</f>
        <v>0.0327108544675929</v>
      </c>
      <c r="C34" s="12" t="n">
        <f aca="false">STDEV(C66:C71)</f>
        <v>0.0547722557505291</v>
      </c>
      <c r="D34" s="12" t="n">
        <f aca="false">STDEV(D66:D71)</f>
        <v>0.788458411501005</v>
      </c>
      <c r="E34" s="22"/>
      <c r="F34" s="22"/>
    </row>
    <row r="35" customFormat="false" ht="12.8" hidden="false" customHeight="false" outlineLevel="0" collapsed="false">
      <c r="A35" s="6" t="s">
        <v>9</v>
      </c>
      <c r="B35" s="12" t="n">
        <f aca="false">B34/SQRT(6)</f>
        <v>0.013354150416007</v>
      </c>
      <c r="C35" s="12" t="n">
        <f aca="false">C34/SQRT(6)</f>
        <v>0.022360679775003</v>
      </c>
      <c r="D35" s="12" t="n">
        <f aca="false">D34/SQRT(6)</f>
        <v>0.321886798597139</v>
      </c>
      <c r="E35" s="22"/>
      <c r="F35" s="22"/>
    </row>
    <row r="36" customFormat="false" ht="12.8" hidden="false" customHeight="false" outlineLevel="0" collapsed="false">
      <c r="A36" s="9"/>
      <c r="B36" s="5"/>
      <c r="C36" s="5"/>
      <c r="D36" s="5"/>
      <c r="E36" s="22"/>
      <c r="F36" s="22"/>
    </row>
    <row r="37" customFormat="false" ht="12.8" hidden="false" customHeight="false" outlineLevel="0" collapsed="false">
      <c r="A37" s="6" t="s">
        <v>11</v>
      </c>
      <c r="B37" s="5" t="n">
        <f aca="false">F57</f>
        <v>0.01</v>
      </c>
      <c r="C37" s="5" t="n">
        <f aca="false">F58</f>
        <v>0.1</v>
      </c>
      <c r="D37" s="5" t="n">
        <f aca="false">F59</f>
        <v>0.1</v>
      </c>
      <c r="E37" s="22"/>
      <c r="F37" s="22"/>
    </row>
    <row r="38" customFormat="false" ht="12.8" hidden="false" customHeight="false" outlineLevel="0" collapsed="false">
      <c r="A38" s="6" t="s">
        <v>12</v>
      </c>
      <c r="B38" s="15" t="n">
        <f aca="false">B37/SQRT(12)</f>
        <v>0.00288675134594813</v>
      </c>
      <c r="C38" s="15" t="n">
        <f aca="false">C37/SQRT(12)</f>
        <v>0.0288675134594813</v>
      </c>
      <c r="D38" s="15" t="n">
        <f aca="false">D37/SQRT(12)</f>
        <v>0.0288675134594813</v>
      </c>
      <c r="E38" s="22"/>
      <c r="F38" s="22"/>
    </row>
    <row r="39" customFormat="false" ht="12.8" hidden="false" customHeight="false" outlineLevel="0" collapsed="false">
      <c r="A39" s="9"/>
      <c r="B39" s="5"/>
      <c r="C39" s="5"/>
      <c r="D39" s="5"/>
      <c r="E39" s="22"/>
      <c r="F39" s="22"/>
    </row>
    <row r="40" customFormat="false" ht="12.8" hidden="false" customHeight="false" outlineLevel="0" collapsed="false">
      <c r="A40" s="6" t="s">
        <v>13</v>
      </c>
      <c r="B40" s="7" t="n">
        <f aca="false">SQRT(B29^2+B35^2+B38^2)</f>
        <v>0.0160054160104218</v>
      </c>
      <c r="C40" s="7" t="n">
        <f aca="false">SQRT(C29^2+C35^2+C38^2)</f>
        <v>0.0377785360503994</v>
      </c>
      <c r="D40" s="7" t="n">
        <f aca="false">SQRT(D29^2+D35^2+D38^2)</f>
        <v>0.32363272257642</v>
      </c>
      <c r="E40" s="22"/>
      <c r="F40" s="22"/>
    </row>
    <row r="41" customFormat="false" ht="12.8" hidden="false" customHeight="false" outlineLevel="0" collapsed="false">
      <c r="A41" s="6" t="s">
        <v>14</v>
      </c>
      <c r="B41" s="7" t="n">
        <f aca="false">B40*2</f>
        <v>0.0320108320208436</v>
      </c>
      <c r="C41" s="7" t="n">
        <f aca="false">C40*2</f>
        <v>0.0755570721007987</v>
      </c>
      <c r="D41" s="7" t="n">
        <f aca="false">D40*2</f>
        <v>0.64726544515284</v>
      </c>
      <c r="E41" s="22"/>
      <c r="F41" s="22"/>
    </row>
    <row r="42" customFormat="false" ht="12.8" hidden="false" customHeight="false" outlineLevel="0" collapsed="false">
      <c r="A42" s="6"/>
      <c r="B42" s="7"/>
      <c r="C42" s="7"/>
      <c r="D42" s="7"/>
      <c r="E42" s="22"/>
      <c r="F42" s="22"/>
    </row>
    <row r="43" customFormat="false" ht="17.35" hidden="false" customHeight="false" outlineLevel="0" collapsed="false">
      <c r="A43" s="6" t="s">
        <v>15</v>
      </c>
      <c r="B43" s="16" t="str">
        <f aca="false">"( " &amp; TEXT(B31,"0,000") &amp; "  ± " &amp; TEXT(B41,"0,000") &amp; " )"  &amp; " MΩ"</f>
        <v>( 98,385  ± 0,032 ) MΩ</v>
      </c>
      <c r="C43" s="16" t="str">
        <f aca="false">"( " &amp; TEXT(C31,"0,000") &amp; "  ± " &amp; TEXT(C41,"0,000") &amp; " )"  &amp; " MΩ"</f>
        <v>( 196,250  ± 0,076 ) MΩ</v>
      </c>
      <c r="D43" s="16" t="str">
        <f aca="false">"( " &amp; TEXT(D31,"0,000") &amp; "  ± " &amp; TEXT(D41,"0,000") &amp; " )"  &amp; " MΩ"</f>
        <v>( 986,183  ± 0,647 ) MΩ</v>
      </c>
      <c r="E43" s="22"/>
      <c r="F43" s="22"/>
    </row>
    <row r="44" customFormat="false" ht="12.8" hidden="false" customHeight="false" outlineLevel="0" collapsed="false">
      <c r="A44" s="9"/>
      <c r="B44" s="5"/>
      <c r="C44" s="5"/>
      <c r="D44" s="5"/>
      <c r="E44" s="22"/>
      <c r="F44" s="22"/>
    </row>
    <row r="45" customFormat="false" ht="26.85" hidden="false" customHeight="true" outlineLevel="0" collapsed="false">
      <c r="A45" s="24" t="s">
        <v>26</v>
      </c>
      <c r="B45" s="25" t="str">
        <f aca="false">TEXT((C57*B31/100)+D57*B37+E57,"0,000") &amp;  " MΩ"</f>
        <v>3,152 MΩ</v>
      </c>
      <c r="C45" s="25" t="str">
        <f aca="false">TEXT((C58*C31/100)+D58*C37+E58,"0,000") &amp;  " MΩ"</f>
        <v>6,088 MΩ</v>
      </c>
      <c r="D45" s="25" t="str">
        <f aca="false">TEXT((C59*D31/100)+D59*D37+E6557*D37+E59,"0,000") &amp;  " MΩ"</f>
        <v>29,786 MΩ</v>
      </c>
      <c r="E45" s="22"/>
      <c r="F45" s="22"/>
    </row>
    <row r="46" customFormat="false" ht="43.25" hidden="false" customHeight="true" outlineLevel="0" collapsed="false">
      <c r="A46" s="26" t="s">
        <v>27</v>
      </c>
      <c r="B46" s="27" t="str">
        <f aca="false">IF(ABS(B32)+ABS(B41)&lt;=(C57*B31/100+D57*B37+E57),"MIERNIK MIERZY POPRAWNIE","SPRAWDŹ MIERNIK")</f>
        <v>MIERNIK MIERZY POPRAWNIE</v>
      </c>
      <c r="C46" s="27" t="str">
        <f aca="false">IF(ABS(C32)+ABS(C41)&lt;=C45,"MIERNIK MIERZY POPRAWNIE","SPRAWDŹ MIERNIK")</f>
        <v>MIERNIK MIERZY POPRAWNIE</v>
      </c>
      <c r="D46" s="27" t="str">
        <f aca="false">IF(ABS(D32)+ABS(D41)&lt;=D45,"MIERNIK MIERZY POPRAWNIE","SPRAWDŹ MIERNIK")</f>
        <v>MIERNIK MIERZY POPRAWNIE</v>
      </c>
      <c r="E46" s="22"/>
      <c r="F46" s="22"/>
    </row>
    <row r="49" customFormat="false" ht="12.8" hidden="false" customHeight="true" outlineLevel="0" collapsed="false">
      <c r="B49" s="28" t="s">
        <v>28</v>
      </c>
      <c r="C49" s="28"/>
      <c r="D49" s="28"/>
    </row>
    <row r="50" customFormat="false" ht="12.8" hidden="false" customHeight="false" outlineLevel="0" collapsed="false">
      <c r="B50" s="28"/>
      <c r="C50" s="28"/>
      <c r="D50" s="28"/>
    </row>
    <row r="51" customFormat="false" ht="12.8" hidden="false" customHeight="false" outlineLevel="0" collapsed="false">
      <c r="B51" s="28"/>
      <c r="C51" s="28"/>
      <c r="D51" s="28"/>
    </row>
    <row r="52" customFormat="false" ht="12.8" hidden="false" customHeight="false" outlineLevel="0" collapsed="false">
      <c r="B52" s="28"/>
      <c r="C52" s="28"/>
      <c r="D52" s="28"/>
    </row>
    <row r="53" customFormat="false" ht="12.8" hidden="false" customHeight="false" outlineLevel="0" collapsed="false">
      <c r="B53" s="28"/>
      <c r="C53" s="28"/>
      <c r="D53" s="28"/>
    </row>
    <row r="54" customFormat="false" ht="12.8" hidden="false" customHeight="false" outlineLevel="0" collapsed="false">
      <c r="B54" s="28"/>
      <c r="C54" s="28"/>
      <c r="D54" s="28"/>
    </row>
    <row r="55" customFormat="false" ht="12.8" hidden="false" customHeight="false" outlineLevel="0" collapsed="false">
      <c r="B55" s="28"/>
      <c r="C55" s="28"/>
      <c r="D55" s="28"/>
    </row>
    <row r="56" customFormat="false" ht="16.15" hidden="false" customHeight="false" outlineLevel="0" collapsed="false">
      <c r="A56" s="29"/>
      <c r="B56" s="30"/>
      <c r="C56" s="31" t="s">
        <v>29</v>
      </c>
      <c r="D56" s="31" t="s">
        <v>30</v>
      </c>
      <c r="E56" s="31" t="s">
        <v>31</v>
      </c>
      <c r="F56" s="31" t="s">
        <v>32</v>
      </c>
    </row>
    <row r="57" customFormat="false" ht="15.65" hidden="false" customHeight="true" outlineLevel="0" collapsed="false">
      <c r="A57" s="24" t="s">
        <v>33</v>
      </c>
      <c r="B57" s="32" t="s">
        <v>34</v>
      </c>
      <c r="C57" s="31" t="n">
        <v>3</v>
      </c>
      <c r="D57" s="31" t="n">
        <v>0</v>
      </c>
      <c r="E57" s="31" t="n">
        <v>0.2</v>
      </c>
      <c r="F57" s="31" t="n">
        <v>0.01</v>
      </c>
    </row>
    <row r="58" customFormat="false" ht="15.65" hidden="false" customHeight="false" outlineLevel="0" collapsed="false">
      <c r="A58" s="24"/>
      <c r="B58" s="32" t="s">
        <v>35</v>
      </c>
      <c r="C58" s="31" t="n">
        <v>3</v>
      </c>
      <c r="D58" s="31" t="n">
        <v>0</v>
      </c>
      <c r="E58" s="31" t="n">
        <v>0.2</v>
      </c>
      <c r="F58" s="31" t="n">
        <v>0.1</v>
      </c>
    </row>
    <row r="59" customFormat="false" ht="15.65" hidden="false" customHeight="false" outlineLevel="0" collapsed="false">
      <c r="A59" s="24"/>
      <c r="B59" s="32" t="s">
        <v>36</v>
      </c>
      <c r="C59" s="31" t="n">
        <v>3</v>
      </c>
      <c r="D59" s="31" t="n">
        <v>0</v>
      </c>
      <c r="E59" s="31" t="n">
        <v>0.2</v>
      </c>
      <c r="F59" s="31" t="n">
        <v>0.1</v>
      </c>
    </row>
    <row r="64" customFormat="false" ht="25.35" hidden="false" customHeight="true" outlineLevel="0" collapsed="false">
      <c r="B64" s="33" t="s">
        <v>37</v>
      </c>
      <c r="C64" s="33"/>
      <c r="D64" s="33"/>
    </row>
    <row r="65" customFormat="false" ht="24.45" hidden="false" customHeight="false" outlineLevel="0" collapsed="false">
      <c r="B65" s="19" t="s">
        <v>17</v>
      </c>
      <c r="C65" s="19" t="s">
        <v>18</v>
      </c>
      <c r="D65" s="19" t="s">
        <v>19</v>
      </c>
      <c r="E65" s="19" t="s">
        <v>4</v>
      </c>
    </row>
    <row r="66" customFormat="false" ht="12.8" hidden="false" customHeight="true" outlineLevel="0" collapsed="false">
      <c r="B66" s="34" t="n">
        <v>98.4</v>
      </c>
      <c r="C66" s="5" t="n">
        <v>196.3</v>
      </c>
      <c r="D66" s="5" t="n">
        <v>987.7</v>
      </c>
      <c r="E66" s="35" t="s">
        <v>38</v>
      </c>
    </row>
    <row r="67" customFormat="false" ht="12.8" hidden="false" customHeight="false" outlineLevel="0" collapsed="false">
      <c r="B67" s="34" t="n">
        <v>98.35</v>
      </c>
      <c r="C67" s="5" t="n">
        <v>196.3</v>
      </c>
      <c r="D67" s="5" t="n">
        <v>985.7</v>
      </c>
      <c r="E67" s="35"/>
    </row>
    <row r="68" customFormat="false" ht="12.8" hidden="false" customHeight="false" outlineLevel="0" collapsed="false">
      <c r="B68" s="34" t="n">
        <v>98.39</v>
      </c>
      <c r="C68" s="5" t="n">
        <v>196.2</v>
      </c>
      <c r="D68" s="5" t="n">
        <v>985.8</v>
      </c>
      <c r="E68" s="35"/>
    </row>
    <row r="69" customFormat="false" ht="12.8" hidden="false" customHeight="false" outlineLevel="0" collapsed="false">
      <c r="B69" s="34" t="n">
        <v>98.44</v>
      </c>
      <c r="C69" s="5" t="n">
        <v>196.2</v>
      </c>
      <c r="D69" s="5" t="n">
        <v>986.4</v>
      </c>
      <c r="E69" s="35"/>
    </row>
    <row r="70" customFormat="false" ht="12.8" hidden="false" customHeight="false" outlineLevel="0" collapsed="false">
      <c r="B70" s="34" t="n">
        <v>98.36</v>
      </c>
      <c r="C70" s="5" t="n">
        <v>196.2</v>
      </c>
      <c r="D70" s="5" t="n">
        <v>985.7</v>
      </c>
      <c r="E70" s="35"/>
    </row>
    <row r="71" customFormat="false" ht="12.8" hidden="false" customHeight="false" outlineLevel="0" collapsed="false">
      <c r="B71" s="34" t="n">
        <v>98.37</v>
      </c>
      <c r="C71" s="5" t="n">
        <v>196.3</v>
      </c>
      <c r="D71" s="5" t="n">
        <v>985.8</v>
      </c>
      <c r="E71" s="35"/>
    </row>
  </sheetData>
  <mergeCells count="8">
    <mergeCell ref="E3:E21"/>
    <mergeCell ref="E26:F26"/>
    <mergeCell ref="E27:F30"/>
    <mergeCell ref="E31:F46"/>
    <mergeCell ref="B49:D55"/>
    <mergeCell ref="A57:A59"/>
    <mergeCell ref="B64:D64"/>
    <mergeCell ref="E66:E7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325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2026-01-10T16:22:37Z</dcterms:created>
  <dc:creator/>
  <dc:description/>
  <dc:language>pl-PL</dc:language>
  <cp:lastModifiedBy/>
  <dcterms:modified xsi:type="dcterms:W3CDTF">2026-01-11T20:27:22Z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