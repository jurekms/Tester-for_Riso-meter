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<sst xmlns="http://schemas.openxmlformats.org/spreadsheetml/2006/main" count="38" uniqueCount="27">
  <si>
    <t xml:space="preserve">Tester Riso – wzorzec</t>
  </si>
  <si>
    <r>
      <rPr>
        <b val="true"/>
        <sz val="14"/>
        <rFont val="Arial"/>
        <family val="2"/>
        <charset val="238"/>
      </rPr>
      <t xml:space="preserve">100 M</t>
    </r>
    <r>
      <rPr>
        <b val="true"/>
        <sz val="14"/>
        <rFont val="Times New Roman"/>
        <family val="1"/>
        <charset val="1"/>
      </rPr>
      <t xml:space="preserve">Ω</t>
    </r>
  </si>
  <si>
    <r>
      <rPr>
        <b val="true"/>
        <sz val="14"/>
        <rFont val="Arial"/>
        <family val="2"/>
        <charset val="238"/>
      </rPr>
      <t xml:space="preserve">200 M</t>
    </r>
    <r>
      <rPr>
        <b val="true"/>
        <sz val="14"/>
        <rFont val="Times New Roman"/>
        <family val="1"/>
        <charset val="1"/>
      </rPr>
      <t xml:space="preserve">Ω</t>
    </r>
  </si>
  <si>
    <r>
      <rPr>
        <b val="true"/>
        <sz val="14"/>
        <rFont val="Arial"/>
        <family val="2"/>
        <charset val="238"/>
      </rPr>
      <t xml:space="preserve">1 G</t>
    </r>
    <r>
      <rPr>
        <b val="true"/>
        <sz val="14"/>
        <rFont val="Times New Roman"/>
        <family val="1"/>
        <charset val="1"/>
      </rPr>
      <t xml:space="preserve">Ω</t>
    </r>
  </si>
  <si>
    <t xml:space="preserve">Rwzorca</t>
  </si>
  <si>
    <t xml:space="preserve">niepewność wzorca</t>
  </si>
  <si>
    <t xml:space="preserve">pomiary</t>
  </si>
  <si>
    <t xml:space="preserve">średnia</t>
  </si>
  <si>
    <t xml:space="preserve">błąd</t>
  </si>
  <si>
    <t xml:space="preserve">błąd %</t>
  </si>
  <si>
    <t xml:space="preserve">odchylenie standardowe</t>
  </si>
  <si>
    <t xml:space="preserve">niepewność odchylenia standardowego</t>
  </si>
  <si>
    <t xml:space="preserve">rozdzielczość</t>
  </si>
  <si>
    <t xml:space="preserve">niepewność rozdzielczości</t>
  </si>
  <si>
    <t xml:space="preserve">niepewność zwykła pomiaru</t>
  </si>
  <si>
    <t xml:space="preserve">niepewność rozszerzona pomiaru k=2</t>
  </si>
  <si>
    <t xml:space="preserve">zmierzona wartość rezystancji</t>
  </si>
  <si>
    <r>
      <rPr>
        <b val="true"/>
        <sz val="14"/>
        <rFont val="Arial"/>
        <family val="2"/>
        <charset val="238"/>
      </rPr>
      <t xml:space="preserve">( 99,454 +- 0,017 ) M</t>
    </r>
    <r>
      <rPr>
        <b val="true"/>
        <sz val="14"/>
        <rFont val="Times New Roman"/>
        <family val="1"/>
        <charset val="238"/>
      </rPr>
      <t xml:space="preserve">Ω</t>
    </r>
  </si>
  <si>
    <r>
      <rPr>
        <b val="true"/>
        <sz val="14"/>
        <rFont val="Arial"/>
        <family val="2"/>
        <charset val="238"/>
      </rPr>
      <t xml:space="preserve">( 197,993 +- 0,020 ) M</t>
    </r>
    <r>
      <rPr>
        <b val="true"/>
        <sz val="14"/>
        <rFont val="Times New Roman"/>
        <family val="1"/>
        <charset val="238"/>
      </rPr>
      <t xml:space="preserve">Ω</t>
    </r>
  </si>
  <si>
    <r>
      <rPr>
        <b val="true"/>
        <sz val="14"/>
        <rFont val="Arial"/>
        <family val="2"/>
        <charset val="238"/>
      </rPr>
      <t xml:space="preserve">( 999,471 +- 0,059 ) M</t>
    </r>
    <r>
      <rPr>
        <b val="true"/>
        <sz val="14"/>
        <rFont val="Times New Roman"/>
        <family val="1"/>
        <charset val="238"/>
      </rPr>
      <t xml:space="preserve">Ω</t>
    </r>
  </si>
  <si>
    <t xml:space="preserve">Sprawdzenie miernika
SONEL MIC-2501
Upom=1000V</t>
  </si>
  <si>
    <r>
      <rPr>
        <b val="true"/>
        <sz val="20"/>
        <rFont val="Arial"/>
        <family val="2"/>
        <charset val="238"/>
      </rPr>
      <t xml:space="preserve">100 M</t>
    </r>
    <r>
      <rPr>
        <b val="true"/>
        <sz val="20"/>
        <rFont val="Times New Roman"/>
        <family val="1"/>
        <charset val="1"/>
      </rPr>
      <t xml:space="preserve">Ω</t>
    </r>
  </si>
  <si>
    <r>
      <rPr>
        <b val="true"/>
        <sz val="20"/>
        <rFont val="Arial"/>
        <family val="2"/>
        <charset val="238"/>
      </rPr>
      <t xml:space="preserve">200 M</t>
    </r>
    <r>
      <rPr>
        <b val="true"/>
        <sz val="20"/>
        <rFont val="Times New Roman"/>
        <family val="1"/>
        <charset val="1"/>
      </rPr>
      <t xml:space="preserve">Ω</t>
    </r>
  </si>
  <si>
    <r>
      <rPr>
        <b val="true"/>
        <sz val="20"/>
        <rFont val="Arial"/>
        <family val="2"/>
        <charset val="238"/>
      </rPr>
      <t xml:space="preserve">1 G</t>
    </r>
    <r>
      <rPr>
        <b val="true"/>
        <sz val="20"/>
        <rFont val="Times New Roman"/>
        <family val="1"/>
        <charset val="1"/>
      </rPr>
      <t xml:space="preserve">Ω</t>
    </r>
  </si>
  <si>
    <t xml:space="preserve">niepewność zwykła wzorca</t>
  </si>
  <si>
    <t xml:space="preserve">max błąd miernika</t>
  </si>
  <si>
    <t xml:space="preserve">Ocena : błąd + niepewność rozszerzona pomiaru &lt;= max błędu miernika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</si>
</sst>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00"/>
    <numFmt numFmtId="166" formatCode="0.000"/>
    <numFmt numFmtId="167" formatCode="General"/>
    <numFmt numFmtId="168" formatCode="0.00%"/>
    <numFmt numFmtId="169" formatCode="0.0000"/>
    <numFmt numFmtId="170" formatCode="0.000E+00"/>
    <numFmt numFmtId="171" formatCode="0.00"/>
  </numFmts>
  <fonts count="1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20"/>
      <color rgb="FFC9211E"/>
      <name val="Arial"/>
      <family val="2"/>
      <charset val="238"/>
    </font>
    <font>
      <b val="true"/>
      <sz val="14"/>
      <name val="Arial"/>
      <family val="2"/>
      <charset val="238"/>
    </font>
    <font>
      <b val="true"/>
      <sz val="14"/>
      <name val="Times New Roman"/>
      <family val="1"/>
      <charset val="1"/>
    </font>
    <font>
      <b val="true"/>
      <sz val="12"/>
      <name val="Arial"/>
      <family val="2"/>
      <charset val="238"/>
    </font>
    <font>
      <sz val="12"/>
      <name val="Arial"/>
      <family val="2"/>
      <charset val="238"/>
    </font>
    <font>
      <b val="true"/>
      <sz val="14"/>
      <name val="Times New Roman"/>
      <family val="1"/>
      <charset val="238"/>
    </font>
    <font>
      <b val="true"/>
      <sz val="20"/>
      <name val="Arial"/>
      <family val="2"/>
      <charset val="238"/>
    </font>
    <font>
      <b val="true"/>
      <sz val="20"/>
      <name val="Times New Roman"/>
      <family val="1"/>
      <charset val="1"/>
    </font>
    <font>
      <b val="true"/>
      <sz val="12"/>
      <color rgb="FFC9211E"/>
      <name val="Arial"/>
      <family val="2"/>
      <charset val="238"/>
    </font>
    <font>
      <sz val="1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2" activeCellId="0" sqref="G4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0.62"/>
    <col collapsed="false" customWidth="true" hidden="false" outlineLevel="0" max="2" min="2" style="1" width="34.2"/>
    <col collapsed="false" customWidth="true" hidden="false" outlineLevel="0" max="3" min="3" style="1" width="37.56"/>
    <col collapsed="false" customWidth="true" hidden="false" outlineLevel="0" max="4" min="4" style="1" width="36.3"/>
  </cols>
  <sheetData>
    <row r="1" customFormat="false" ht="24.4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</row>
    <row r="2" customFormat="false" ht="12.8" hidden="false" customHeight="false" outlineLevel="0" collapsed="false">
      <c r="A2" s="4"/>
      <c r="B2" s="5"/>
      <c r="C2" s="5"/>
      <c r="D2" s="5"/>
    </row>
    <row r="3" customFormat="false" ht="12.8" hidden="false" customHeight="false" outlineLevel="0" collapsed="false">
      <c r="A3" s="6" t="s">
        <v>4</v>
      </c>
      <c r="B3" s="5" t="n">
        <v>100.00035</v>
      </c>
      <c r="C3" s="7" t="n">
        <v>200.0007</v>
      </c>
      <c r="D3" s="7" t="n">
        <v>999.8605</v>
      </c>
    </row>
    <row r="4" customFormat="false" ht="12.8" hidden="false" customHeight="false" outlineLevel="0" collapsed="false">
      <c r="A4" s="6" t="s">
        <v>5</v>
      </c>
      <c r="B4" s="5" t="n">
        <v>0.0024</v>
      </c>
      <c r="C4" s="5" t="n">
        <v>0.0024</v>
      </c>
      <c r="D4" s="5" t="n">
        <v>0.024</v>
      </c>
    </row>
    <row r="5" customFormat="false" ht="12.8" hidden="false" customHeight="false" outlineLevel="0" collapsed="false">
      <c r="A5" s="8"/>
      <c r="B5" s="9"/>
      <c r="C5" s="9"/>
      <c r="D5" s="5"/>
    </row>
    <row r="6" customFormat="false" ht="12.8" hidden="false" customHeight="false" outlineLevel="0" collapsed="false">
      <c r="A6" s="6" t="s">
        <v>6</v>
      </c>
      <c r="B6" s="10" t="n">
        <v>99.456</v>
      </c>
      <c r="C6" s="10" t="n">
        <v>198.036</v>
      </c>
      <c r="D6" s="5" t="n">
        <v>999.466</v>
      </c>
    </row>
    <row r="7" customFormat="false" ht="12.8" hidden="false" customHeight="false" outlineLevel="0" collapsed="false">
      <c r="A7" s="8"/>
      <c r="B7" s="10" t="n">
        <v>99.42</v>
      </c>
      <c r="C7" s="10" t="n">
        <v>197.972</v>
      </c>
      <c r="D7" s="5" t="n">
        <v>999.452</v>
      </c>
    </row>
    <row r="8" customFormat="false" ht="12.8" hidden="false" customHeight="false" outlineLevel="0" collapsed="false">
      <c r="A8" s="8"/>
      <c r="B8" s="10" t="n">
        <v>99.45</v>
      </c>
      <c r="C8" s="10" t="n">
        <v>197.996</v>
      </c>
      <c r="D8" s="5" t="n">
        <v>999.475</v>
      </c>
    </row>
    <row r="9" customFormat="false" ht="12.8" hidden="false" customHeight="false" outlineLevel="0" collapsed="false">
      <c r="A9" s="8"/>
      <c r="B9" s="10" t="n">
        <v>99.474</v>
      </c>
      <c r="C9" s="10" t="n">
        <v>197.988</v>
      </c>
      <c r="D9" s="5" t="n">
        <v>999.403</v>
      </c>
    </row>
    <row r="10" customFormat="false" ht="12.8" hidden="false" customHeight="false" outlineLevel="0" collapsed="false">
      <c r="A10" s="8"/>
      <c r="B10" s="10" t="n">
        <v>99.449</v>
      </c>
      <c r="C10" s="10" t="n">
        <v>197.972</v>
      </c>
      <c r="D10" s="5" t="n">
        <v>999.515</v>
      </c>
    </row>
    <row r="11" customFormat="false" ht="12.8" hidden="false" customHeight="false" outlineLevel="0" collapsed="false">
      <c r="A11" s="8"/>
      <c r="B11" s="10" t="n">
        <v>99.475</v>
      </c>
      <c r="C11" s="10" t="n">
        <v>197.996</v>
      </c>
      <c r="D11" s="5" t="n">
        <v>999.514</v>
      </c>
    </row>
    <row r="12" customFormat="false" ht="15" hidden="false" customHeight="false" outlineLevel="0" collapsed="false">
      <c r="A12" s="6" t="s">
        <v>7</v>
      </c>
      <c r="B12" s="11" t="n">
        <f aca="false">AVERAGE(B6:B11)</f>
        <v>99.454</v>
      </c>
      <c r="C12" s="12" t="n">
        <f aca="false">AVERAGE(C6:C11)</f>
        <v>197.993333333333</v>
      </c>
      <c r="D12" s="12" t="n">
        <f aca="false">AVERAGE(D6:D11)</f>
        <v>999.470833333333</v>
      </c>
    </row>
    <row r="13" customFormat="false" ht="15" hidden="false" customHeight="false" outlineLevel="0" collapsed="false">
      <c r="A13" s="6" t="s">
        <v>8</v>
      </c>
      <c r="B13" s="12" t="n">
        <f aca="false">B3-B12</f>
        <v>0.54634999999999</v>
      </c>
      <c r="C13" s="12" t="n">
        <f aca="false">C3-C12</f>
        <v>2.00736666666666</v>
      </c>
      <c r="D13" s="12" t="n">
        <f aca="false">D3-D12</f>
        <v>0.389666666666699</v>
      </c>
    </row>
    <row r="14" customFormat="false" ht="15" hidden="false" customHeight="false" outlineLevel="0" collapsed="false">
      <c r="A14" s="6" t="s">
        <v>9</v>
      </c>
      <c r="B14" s="13" t="n">
        <f aca="false">B13/B12</f>
        <v>0.00549349447985993</v>
      </c>
      <c r="C14" s="13" t="n">
        <f aca="false">C13/C12</f>
        <v>0.0101385568537661</v>
      </c>
      <c r="D14" s="13" t="n">
        <f aca="false">D13/D12</f>
        <v>0.000389872974449011</v>
      </c>
    </row>
    <row r="15" customFormat="false" ht="12.8" hidden="false" customHeight="false" outlineLevel="0" collapsed="false">
      <c r="A15" s="6" t="s">
        <v>10</v>
      </c>
      <c r="B15" s="14" t="n">
        <f aca="false">STDEV(B6:B11)</f>
        <v>0.0202089089265096</v>
      </c>
      <c r="C15" s="14" t="n">
        <f aca="false">STDEV(C6:C11)</f>
        <v>0.0235513623102055</v>
      </c>
      <c r="D15" s="14" t="n">
        <f aca="false">STDEV(D6:D11)</f>
        <v>0.0419781689294101</v>
      </c>
    </row>
    <row r="16" customFormat="false" ht="12.8" hidden="false" customHeight="false" outlineLevel="0" collapsed="false">
      <c r="A16" s="6" t="s">
        <v>11</v>
      </c>
      <c r="B16" s="14" t="n">
        <f aca="false">B15/SQRT(6)</f>
        <v>0.00825025252138746</v>
      </c>
      <c r="C16" s="14" t="n">
        <f aca="false">C15/SQRT(6)</f>
        <v>0.00961480340123644</v>
      </c>
      <c r="D16" s="14" t="n">
        <f aca="false">D15/SQRT(6)</f>
        <v>0.0171375157022349</v>
      </c>
    </row>
    <row r="17" customFormat="false" ht="12.8" hidden="false" customHeight="false" outlineLevel="0" collapsed="false">
      <c r="A17" s="8"/>
      <c r="B17" s="5"/>
      <c r="C17" s="5"/>
      <c r="D17" s="5"/>
    </row>
    <row r="18" customFormat="false" ht="12.8" hidden="false" customHeight="false" outlineLevel="0" collapsed="false">
      <c r="A18" s="6" t="s">
        <v>12</v>
      </c>
      <c r="B18" s="5" t="n">
        <v>1E-005</v>
      </c>
      <c r="C18" s="5" t="n">
        <v>1E-005</v>
      </c>
      <c r="D18" s="5" t="n">
        <v>1E-005</v>
      </c>
    </row>
    <row r="19" customFormat="false" ht="12.8" hidden="false" customHeight="false" outlineLevel="0" collapsed="false">
      <c r="A19" s="6" t="s">
        <v>13</v>
      </c>
      <c r="B19" s="15" t="n">
        <f aca="false">B18/SQRT(12)</f>
        <v>2.88675134594813E-006</v>
      </c>
      <c r="C19" s="15" t="n">
        <f aca="false">C18/SQRT(12)</f>
        <v>2.88675134594813E-006</v>
      </c>
      <c r="D19" s="15" t="n">
        <f aca="false">D18/SQRT(12)</f>
        <v>2.88675134594813E-006</v>
      </c>
    </row>
    <row r="20" customFormat="false" ht="12.8" hidden="false" customHeight="false" outlineLevel="0" collapsed="false">
      <c r="A20" s="8"/>
      <c r="B20" s="5"/>
      <c r="C20" s="5"/>
      <c r="D20" s="5"/>
    </row>
    <row r="21" customFormat="false" ht="12.8" hidden="false" customHeight="false" outlineLevel="0" collapsed="false">
      <c r="A21" s="6" t="s">
        <v>14</v>
      </c>
      <c r="B21" s="10" t="n">
        <f aca="false">SQRT(B4^2+B16^2+B19^2)</f>
        <v>0.00859224505004329</v>
      </c>
      <c r="C21" s="10" t="n">
        <f aca="false">SQRT(C4^2+C16^2+C19^2)</f>
        <v>0.00990981598102413</v>
      </c>
      <c r="D21" s="10" t="n">
        <f aca="false">SQRT(D4^2+D16^2+D19^2)</f>
        <v>0.0294905824421574</v>
      </c>
    </row>
    <row r="22" customFormat="false" ht="12.8" hidden="false" customHeight="false" outlineLevel="0" collapsed="false">
      <c r="A22" s="6" t="s">
        <v>15</v>
      </c>
      <c r="B22" s="10" t="n">
        <f aca="false">B21*2</f>
        <v>0.0171844901000866</v>
      </c>
      <c r="C22" s="10" t="n">
        <f aca="false">C21*2</f>
        <v>0.0198196319620483</v>
      </c>
      <c r="D22" s="10" t="n">
        <f aca="false">D21*2</f>
        <v>0.0589811648843148</v>
      </c>
    </row>
    <row r="23" customFormat="false" ht="12.8" hidden="false" customHeight="false" outlineLevel="0" collapsed="false">
      <c r="A23" s="8"/>
      <c r="B23" s="5"/>
      <c r="C23" s="5"/>
      <c r="D23" s="5"/>
    </row>
    <row r="24" customFormat="false" ht="17.15" hidden="false" customHeight="false" outlineLevel="0" collapsed="false">
      <c r="A24" s="6" t="s">
        <v>16</v>
      </c>
      <c r="B24" s="16" t="s">
        <v>17</v>
      </c>
      <c r="C24" s="16" t="s">
        <v>18</v>
      </c>
      <c r="D24" s="16" t="s">
        <v>19</v>
      </c>
    </row>
    <row r="25" customFormat="false" ht="12.8" hidden="false" customHeight="false" outlineLevel="0" collapsed="false">
      <c r="B25" s="17"/>
      <c r="C25" s="17"/>
      <c r="D25" s="17"/>
    </row>
    <row r="29" customFormat="false" ht="90.25" hidden="false" customHeight="true" outlineLevel="0" collapsed="false">
      <c r="A29" s="18" t="s">
        <v>20</v>
      </c>
      <c r="B29" s="19" t="s">
        <v>21</v>
      </c>
      <c r="C29" s="19" t="s">
        <v>22</v>
      </c>
      <c r="D29" s="19" t="s">
        <v>23</v>
      </c>
    </row>
    <row r="30" customFormat="false" ht="12.8" hidden="false" customHeight="false" outlineLevel="0" collapsed="false">
      <c r="A30" s="4"/>
      <c r="B30" s="5"/>
      <c r="C30" s="5"/>
      <c r="D30" s="5"/>
    </row>
    <row r="31" customFormat="false" ht="12.8" hidden="false" customHeight="false" outlineLevel="0" collapsed="false">
      <c r="A31" s="6" t="s">
        <v>4</v>
      </c>
      <c r="B31" s="5" t="n">
        <f aca="false">B12</f>
        <v>99.454</v>
      </c>
      <c r="C31" s="10" t="n">
        <f aca="false">C12</f>
        <v>197.993333333333</v>
      </c>
      <c r="D31" s="10" t="n">
        <f aca="false">D12</f>
        <v>999.470833333333</v>
      </c>
    </row>
    <row r="32" customFormat="false" ht="12.8" hidden="false" customHeight="false" outlineLevel="0" collapsed="false">
      <c r="A32" s="6" t="s">
        <v>24</v>
      </c>
      <c r="B32" s="10" t="n">
        <f aca="false">B21</f>
        <v>0.00859224505004329</v>
      </c>
      <c r="C32" s="10" t="n">
        <f aca="false">C21</f>
        <v>0.00990981598102413</v>
      </c>
      <c r="D32" s="10" t="n">
        <f aca="false">D21</f>
        <v>0.0294905824421574</v>
      </c>
    </row>
    <row r="33" customFormat="false" ht="12.8" hidden="false" customHeight="false" outlineLevel="0" collapsed="false">
      <c r="A33" s="8"/>
      <c r="B33" s="5"/>
      <c r="C33" s="5"/>
      <c r="D33" s="5"/>
    </row>
    <row r="34" customFormat="false" ht="12.8" hidden="false" customHeight="false" outlineLevel="0" collapsed="false">
      <c r="A34" s="6" t="s">
        <v>6</v>
      </c>
      <c r="B34" s="20" t="n">
        <v>98.4</v>
      </c>
      <c r="C34" s="5" t="n">
        <v>196.3</v>
      </c>
      <c r="D34" s="5" t="n">
        <v>987.7</v>
      </c>
    </row>
    <row r="35" customFormat="false" ht="12.8" hidden="false" customHeight="false" outlineLevel="0" collapsed="false">
      <c r="A35" s="8"/>
      <c r="B35" s="20" t="n">
        <v>98.35</v>
      </c>
      <c r="C35" s="5" t="n">
        <v>196.3</v>
      </c>
      <c r="D35" s="5" t="n">
        <v>985.7</v>
      </c>
    </row>
    <row r="36" customFormat="false" ht="12.8" hidden="false" customHeight="false" outlineLevel="0" collapsed="false">
      <c r="A36" s="8"/>
      <c r="B36" s="20" t="n">
        <v>98.39</v>
      </c>
      <c r="C36" s="5" t="n">
        <v>196.2</v>
      </c>
      <c r="D36" s="5" t="n">
        <v>985.8</v>
      </c>
    </row>
    <row r="37" customFormat="false" ht="12.8" hidden="false" customHeight="false" outlineLevel="0" collapsed="false">
      <c r="A37" s="8"/>
      <c r="B37" s="20" t="n">
        <v>98.44</v>
      </c>
      <c r="C37" s="5" t="n">
        <v>196.2</v>
      </c>
      <c r="D37" s="5" t="n">
        <v>986.4</v>
      </c>
    </row>
    <row r="38" customFormat="false" ht="12.8" hidden="false" customHeight="false" outlineLevel="0" collapsed="false">
      <c r="A38" s="8"/>
      <c r="B38" s="20" t="n">
        <v>98.36</v>
      </c>
      <c r="C38" s="5" t="n">
        <v>196.2</v>
      </c>
      <c r="D38" s="5" t="n">
        <v>985.7</v>
      </c>
    </row>
    <row r="39" customFormat="false" ht="12.8" hidden="false" customHeight="false" outlineLevel="0" collapsed="false">
      <c r="A39" s="8"/>
      <c r="B39" s="20" t="n">
        <v>98.37</v>
      </c>
      <c r="C39" s="5" t="n">
        <v>196.3</v>
      </c>
      <c r="D39" s="5" t="n">
        <v>985.8</v>
      </c>
    </row>
    <row r="40" customFormat="false" ht="15" hidden="false" customHeight="false" outlineLevel="0" collapsed="false">
      <c r="A40" s="6" t="s">
        <v>7</v>
      </c>
      <c r="B40" s="11" t="n">
        <f aca="false">AVERAGE(B34:B39)</f>
        <v>98.385</v>
      </c>
      <c r="C40" s="12" t="n">
        <f aca="false">AVERAGE(C34:C39)</f>
        <v>196.25</v>
      </c>
      <c r="D40" s="12" t="n">
        <f aca="false">AVERAGE(D34:D39)</f>
        <v>986.183333333333</v>
      </c>
    </row>
    <row r="41" customFormat="false" ht="12.8" hidden="false" customHeight="false" outlineLevel="0" collapsed="false">
      <c r="A41" s="6" t="s">
        <v>8</v>
      </c>
      <c r="B41" s="10" t="n">
        <f aca="false">B31-B40</f>
        <v>1.06900000000002</v>
      </c>
      <c r="C41" s="10" t="n">
        <f aca="false">C31-C40</f>
        <v>1.74333333333334</v>
      </c>
      <c r="D41" s="10" t="n">
        <f aca="false">D31-D40</f>
        <v>13.2874999999999</v>
      </c>
    </row>
    <row r="42" customFormat="false" ht="15" hidden="false" customHeight="false" outlineLevel="0" collapsed="false">
      <c r="A42" s="6" t="s">
        <v>9</v>
      </c>
      <c r="B42" s="13" t="n">
        <f aca="false">B41/B40</f>
        <v>0.0108654774609952</v>
      </c>
      <c r="C42" s="13" t="n">
        <f aca="false">C41/C40</f>
        <v>0.00888322717622084</v>
      </c>
      <c r="D42" s="13" t="n">
        <f aca="false">D41/D40</f>
        <v>0.0134736610839769</v>
      </c>
    </row>
    <row r="43" customFormat="false" ht="12.8" hidden="false" customHeight="false" outlineLevel="0" collapsed="false">
      <c r="A43" s="6" t="s">
        <v>10</v>
      </c>
      <c r="B43" s="14" t="n">
        <f aca="false">STDEV(B34:B39)</f>
        <v>0.0327108544675929</v>
      </c>
      <c r="C43" s="14" t="n">
        <f aca="false">STDEV(C34:C39)</f>
        <v>0.0547722557505291</v>
      </c>
      <c r="D43" s="14" t="n">
        <f aca="false">STDEV(D34:D39)</f>
        <v>0.788458411501005</v>
      </c>
    </row>
    <row r="44" customFormat="false" ht="12.8" hidden="false" customHeight="false" outlineLevel="0" collapsed="false">
      <c r="A44" s="6" t="s">
        <v>11</v>
      </c>
      <c r="B44" s="14" t="n">
        <f aca="false">B43/SQRT(6)</f>
        <v>0.013354150416007</v>
      </c>
      <c r="C44" s="14" t="n">
        <f aca="false">C43/SQRT(6)</f>
        <v>0.022360679775003</v>
      </c>
      <c r="D44" s="14" t="n">
        <f aca="false">D43/SQRT(6)</f>
        <v>0.321886798597139</v>
      </c>
    </row>
    <row r="45" customFormat="false" ht="12.8" hidden="false" customHeight="false" outlineLevel="0" collapsed="false">
      <c r="A45" s="8"/>
      <c r="B45" s="5"/>
      <c r="C45" s="5"/>
      <c r="D45" s="5"/>
    </row>
    <row r="46" customFormat="false" ht="12.8" hidden="false" customHeight="false" outlineLevel="0" collapsed="false">
      <c r="A46" s="6" t="s">
        <v>12</v>
      </c>
      <c r="B46" s="5" t="n">
        <v>0.01</v>
      </c>
      <c r="C46" s="5" t="n">
        <v>0.1</v>
      </c>
      <c r="D46" s="5" t="n">
        <v>0.1</v>
      </c>
    </row>
    <row r="47" customFormat="false" ht="12.8" hidden="false" customHeight="false" outlineLevel="0" collapsed="false">
      <c r="A47" s="6" t="s">
        <v>13</v>
      </c>
      <c r="B47" s="15" t="n">
        <f aca="false">B46/SQRT(12)</f>
        <v>0.00288675134594813</v>
      </c>
      <c r="C47" s="15" t="n">
        <f aca="false">C46/SQRT(12)</f>
        <v>0.0288675134594813</v>
      </c>
      <c r="D47" s="15" t="n">
        <f aca="false">D46/SQRT(12)</f>
        <v>0.0288675134594813</v>
      </c>
    </row>
    <row r="48" customFormat="false" ht="12.8" hidden="false" customHeight="false" outlineLevel="0" collapsed="false">
      <c r="A48" s="8"/>
      <c r="B48" s="5"/>
      <c r="C48" s="5"/>
      <c r="D48" s="5"/>
    </row>
    <row r="49" customFormat="false" ht="12.8" hidden="false" customHeight="false" outlineLevel="0" collapsed="false">
      <c r="A49" s="6" t="s">
        <v>14</v>
      </c>
      <c r="B49" s="10" t="n">
        <f aca="false">SQRT(B32^2+B44^2+B47^2)</f>
        <v>0.0161398061223383</v>
      </c>
      <c r="C49" s="10" t="n">
        <f aca="false">SQRT(C32^2+C44^2+C47^2)</f>
        <v>0.0378356681731844</v>
      </c>
      <c r="D49" s="10" t="n">
        <f aca="false">SQRT(D32^2+D44^2+D47^2)</f>
        <v>0.324521399752352</v>
      </c>
    </row>
    <row r="50" customFormat="false" ht="12.8" hidden="false" customHeight="false" outlineLevel="0" collapsed="false">
      <c r="A50" s="6" t="s">
        <v>15</v>
      </c>
      <c r="B50" s="10" t="n">
        <f aca="false">B49*2</f>
        <v>0.0322796122446765</v>
      </c>
      <c r="C50" s="10" t="n">
        <f aca="false">C49*2</f>
        <v>0.0756713363463689</v>
      </c>
      <c r="D50" s="10" t="n">
        <f aca="false">D49*2</f>
        <v>0.649042799504704</v>
      </c>
    </row>
    <row r="51" customFormat="false" ht="12.8" hidden="false" customHeight="false" outlineLevel="0" collapsed="false">
      <c r="A51" s="8"/>
      <c r="B51" s="5"/>
      <c r="C51" s="5"/>
      <c r="D51" s="5"/>
    </row>
    <row r="52" customFormat="false" ht="15" hidden="false" customHeight="false" outlineLevel="0" collapsed="false">
      <c r="A52" s="6" t="s">
        <v>25</v>
      </c>
      <c r="B52" s="21" t="n">
        <f aca="false">0.03*B40+0.2</f>
        <v>3.15155</v>
      </c>
      <c r="C52" s="21" t="n">
        <f aca="false">0.03*C40+2</f>
        <v>7.8875</v>
      </c>
      <c r="D52" s="21" t="n">
        <f aca="false">0.03*D40+2</f>
        <v>31.5855</v>
      </c>
    </row>
    <row r="53" customFormat="false" ht="34.3" hidden="false" customHeight="true" outlineLevel="0" collapsed="false">
      <c r="A53" s="22" t="s">
        <v>26</v>
      </c>
      <c r="B53" s="9" t="str">
        <f aca="false">IF(ABS(B41)+ABS(B50)&lt;=B52,"MIERNIK MIERZY POPRAWNIE","SPRAWDŹ MIERNIK")</f>
        <v>MIERNIK MIERZY POPRAWNIE</v>
      </c>
      <c r="C53" s="9" t="str">
        <f aca="false">IF(ABS(C41)+ABS(C50)&lt;=C52,"MIERNIK MIERZY POPRAWNIE","SPRAWDŹ MIERNIK")</f>
        <v>MIERNIK MIERZY POPRAWNIE</v>
      </c>
      <c r="D53" s="9" t="str">
        <f aca="false">IF(ABS(D41)+ABS(D50)&lt;=D52,"MIERNIK MIERZY POPRAWNIE","SPRAWDŹ MIERNIK")</f>
        <v>MIERNIK MIERZY POPRAWNIE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2026-01-10T16:22:37Z</dcterms:created>
  <dc:creator/>
  <dc:description/>
  <dc:language>pl-PL</dc:language>
  <cp:lastModifiedBy/>
  <dcterms:modified xsi:type="dcterms:W3CDTF">2026-01-10T16:56:37Z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